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ystem Overview" sheetId="1" state="visible" r:id="rId3"/>
    <sheet name="2. Categorization" sheetId="2" state="visible" r:id="rId4"/>
    <sheet name="3. Control Baseline" sheetId="3" state="visible" r:id="rId5"/>
    <sheet name="4. Risk Register" sheetId="4" state="visible" r:id="rId6"/>
    <sheet name="5. Monitoring Pl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<sst xmlns="http://schemas.openxmlformats.org/spreadsheetml/2006/main" count="154" uniqueCount="106">
  <si>
    <t xml:space="preserve">Security Risk Assessment - System Overview (NIST RMF Step 1: Prepare)</t>
  </si>
  <si>
    <t xml:space="preserve">Organization</t>
  </si>
  <si>
    <t xml:space="preserve">Riverside Family Health Clinic (fictional)</t>
  </si>
  <si>
    <t xml:space="preserve">Industry</t>
  </si>
  <si>
    <t xml:space="preserve">Outpatient medical clinic</t>
  </si>
  <si>
    <t xml:space="preserve">Size</t>
  </si>
  <si>
    <t xml:space="preserve">60 employees</t>
  </si>
  <si>
    <t xml:space="preserve">Regulatory Driver</t>
  </si>
  <si>
    <t xml:space="preserve">HIPAA (Health Insurance Portability and Accountability Act) - handles Protected Health Information (PHI)</t>
  </si>
  <si>
    <t xml:space="preserve">Assessment Purpose</t>
  </si>
  <si>
    <t xml:space="preserve">Identify and evaluate risks to patient data confidentiality, integrity, and availability, and to clinic operations.</t>
  </si>
  <si>
    <t xml:space="preserve">Intended Audience</t>
  </si>
  <si>
    <t xml:space="preserve">Clinic leadership / board (for risk acceptance and remediation decisions)</t>
  </si>
  <si>
    <t xml:space="preserve">Systems In Scope</t>
  </si>
  <si>
    <t xml:space="preserve">1) EHR (Electronic Health Records) system
2) Front-desk scheduling system
3) Employee laptops
4) On-site server room
5) Firewall / network perimeter</t>
  </si>
  <si>
    <t xml:space="preserve">Assessment Methodology</t>
  </si>
  <si>
    <t xml:space="preserve">NIST Risk Management Framework (SP 800-37 Rev. 2): Prepare, Categorize, Select, Implement, Assess, Authorize, Monitor</t>
  </si>
  <si>
    <t xml:space="preserve">System / Asset</t>
  </si>
  <si>
    <t xml:space="preserve">Confidentiality Impact</t>
  </si>
  <si>
    <t xml:space="preserve">Integrity Impact</t>
  </si>
  <si>
    <t xml:space="preserve">Availability Impact</t>
  </si>
  <si>
    <t xml:space="preserve">Justification</t>
  </si>
  <si>
    <t xml:space="preserve">EHR System</t>
  </si>
  <si>
    <t xml:space="preserve">High</t>
  </si>
  <si>
    <t xml:space="preserve">Moderate</t>
  </si>
  <si>
    <t xml:space="preserve">Contains PHI for all patients; unauthorized disclosure or corruption is a direct HIPAA violation. Clinic can operate briefly on paper records if unavailable.</t>
  </si>
  <si>
    <t xml:space="preserve">Front-desk Scheduling System</t>
  </si>
  <si>
    <t xml:space="preserve">Contains patient names and appointment data (limited PHI); errors disrupt daily operations but are recoverable.</t>
  </si>
  <si>
    <t xml:space="preserve">Employee Laptops</t>
  </si>
  <si>
    <t xml:space="preserve">Low</t>
  </si>
  <si>
    <t xml:space="preserve">May store or access PHI; loss or theft risks data exposure. Individual laptop loss has limited effect on overall availability.</t>
  </si>
  <si>
    <t xml:space="preserve">On-site Server Room</t>
  </si>
  <si>
    <t xml:space="preserve">Hosts core infrastructure; physical compromise could affect confidentiality, integrity, and availability of all systems.</t>
  </si>
  <si>
    <t xml:space="preserve">Firewall / Network</t>
  </si>
  <si>
    <t xml:space="preserve">Protects all inbound/outbound traffic; compromise or outage affects the integrity and availability of every connected system.</t>
  </si>
  <si>
    <t xml:space="preserve">NIST SP 800-53 Control Family</t>
  </si>
  <si>
    <t xml:space="preserve">Example Control Applied to Clinic</t>
  </si>
  <si>
    <t xml:space="preserve">Related System(s)</t>
  </si>
  <si>
    <t xml:space="preserve">Access Control (AC)</t>
  </si>
  <si>
    <t xml:space="preserve">Unique user logins and role-based access to the EHR system; no shared accounts</t>
  </si>
  <si>
    <t xml:space="preserve">EHR System, Front-desk Scheduling</t>
  </si>
  <si>
    <t xml:space="preserve">Audit and Accountability (AU)</t>
  </si>
  <si>
    <t xml:space="preserve">Logging of EHR access and login attempts, reviewed periodically</t>
  </si>
  <si>
    <t xml:space="preserve">Awareness and Training (AT)</t>
  </si>
  <si>
    <t xml:space="preserve">Annual HIPAA security awareness training for all staff</t>
  </si>
  <si>
    <t xml:space="preserve">Organization-wide</t>
  </si>
  <si>
    <t xml:space="preserve">System and Communications Protection (SC)</t>
  </si>
  <si>
    <t xml:space="preserve">Encryption of PHI at rest (laptops) and in transit</t>
  </si>
  <si>
    <t xml:space="preserve">Employee Laptops, EHR System</t>
  </si>
  <si>
    <t xml:space="preserve">Contingency Planning (CP)</t>
  </si>
  <si>
    <t xml:space="preserve">Documented, tested backup and disaster recovery plan</t>
  </si>
  <si>
    <t xml:space="preserve">EHR System, Server Room</t>
  </si>
  <si>
    <t xml:space="preserve">Physical and Environmental Protection (PE)</t>
  </si>
  <si>
    <t xml:space="preserve">Badge or lock access control on the server room</t>
  </si>
  <si>
    <t xml:space="preserve">System and Information Integrity (SI)</t>
  </si>
  <si>
    <t xml:space="preserve">Firewall firmware kept current with vendor patches</t>
  </si>
  <si>
    <t xml:space="preserve">Risk ID</t>
  </si>
  <si>
    <t xml:space="preserve">Risk Description</t>
  </si>
  <si>
    <t xml:space="preserve">Likelihood</t>
  </si>
  <si>
    <t xml:space="preserve">Impact</t>
  </si>
  <si>
    <t xml:space="preserve">Likelihood Score</t>
  </si>
  <si>
    <t xml:space="preserve">Impact Score</t>
  </si>
  <si>
    <t xml:space="preserve">Risk Score</t>
  </si>
  <si>
    <t xml:space="preserve">Risk Rating</t>
  </si>
  <si>
    <t xml:space="preserve">Recommended Treatment</t>
  </si>
  <si>
    <t xml:space="preserve">Status</t>
  </si>
  <si>
    <t xml:space="preserve">RA-01</t>
  </si>
  <si>
    <t xml:space="preserve">No multi-factor authentication (MFA) enabled for remote access to the EHR system</t>
  </si>
  <si>
    <t xml:space="preserve">Mitigate</t>
  </si>
  <si>
    <t xml:space="preserve">MFA significantly reduces the risk of unauthorized PHI access via compromised credentials.</t>
  </si>
  <si>
    <t xml:space="preserve">Open</t>
  </si>
  <si>
    <t xml:space="preserve">RA-02</t>
  </si>
  <si>
    <t xml:space="preserve">Employee laptops are not encrypted at rest</t>
  </si>
  <si>
    <t xml:space="preserve">Medium</t>
  </si>
  <si>
    <t xml:space="preserve">Encryption protects PHI if a laptop is lost or stolen.</t>
  </si>
  <si>
    <t xml:space="preserve">RA-03</t>
  </si>
  <si>
    <t xml:space="preserve">No formal HIPAA security awareness training program for staff</t>
  </si>
  <si>
    <t xml:space="preserve">Untrained staff are a common vector for phishing and social engineering attacks.</t>
  </si>
  <si>
    <t xml:space="preserve">RA-04</t>
  </si>
  <si>
    <t xml:space="preserve">Server room lacks physical access controls (no badge or lock system)</t>
  </si>
  <si>
    <t xml:space="preserve">Unrestricted physical access could allow theft, tampering, or destruction of equipment.</t>
  </si>
  <si>
    <t xml:space="preserve">RA-05</t>
  </si>
  <si>
    <t xml:space="preserve">No documented backup or disaster recovery plan</t>
  </si>
  <si>
    <t xml:space="preserve">EHR System / Server Room</t>
  </si>
  <si>
    <t xml:space="preserve">Without backups, ransomware or hardware failure could cause permanent loss of patient data.</t>
  </si>
  <si>
    <t xml:space="preserve">RA-06</t>
  </si>
  <si>
    <t xml:space="preserve">Front-desk staff share a single login for the scheduling system</t>
  </si>
  <si>
    <t xml:space="preserve">Shared logins prevent accountability and accurate audit trails for access to patient data.</t>
  </si>
  <si>
    <t xml:space="preserve">RA-07</t>
  </si>
  <si>
    <t xml:space="preserve">Firewall firmware has not been updated in over 12 months</t>
  </si>
  <si>
    <t xml:space="preserve">Outdated firmware may contain unpatched vulnerabilities exploitable from outside the network.</t>
  </si>
  <si>
    <t xml:space="preserve">Risk Score = Likelihood Score x Impact Score. Rating: 1-2 Low, 3-5 Medium, 6-9 High.</t>
  </si>
  <si>
    <t xml:space="preserve">Likelihood / Impact / Treatment / Status columns are dropdown-editable.</t>
  </si>
  <si>
    <t xml:space="preserve">Ongoing Monitoring Plan (NIST RMF Step 7: Monitor)</t>
  </si>
  <si>
    <t xml:space="preserve">Access Reviews</t>
  </si>
  <si>
    <t xml:space="preserve">Review EHR and scheduling system user access lists quarterly to confirm accounts match current staff and roles.</t>
  </si>
  <si>
    <t xml:space="preserve">Risk Reassessment</t>
  </si>
  <si>
    <t xml:space="preserve">Repeat this risk assessment annually, or after any significant change (new system, new vendor, security incident).</t>
  </si>
  <si>
    <t xml:space="preserve">Patch Management</t>
  </si>
  <si>
    <t xml:space="preserve">Apply firewall and server firmware/software updates on a defined schedule (e.g., monthly) and track exceptions.</t>
  </si>
  <si>
    <t xml:space="preserve">Log Review</t>
  </si>
  <si>
    <t xml:space="preserve">Review EHR access logs periodically for unusual or unauthorized access patterns.</t>
  </si>
  <si>
    <t xml:space="preserve">Training Refresh</t>
  </si>
  <si>
    <t xml:space="preserve">Repeat HIPAA security awareness training annually and for all new hires.</t>
  </si>
  <si>
    <t xml:space="preserve">Backup Testing</t>
  </si>
  <si>
    <t xml:space="preserve">Test data restoration from backups on a regular schedule to confirm the disaster recovery plan works as documented.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</si>
</sst>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8" hidden="false" customHeight="true" outlineLevel="0" collapsed="false">
      <c r="A3" s="2" t="s">
        <v>1</v>
      </c>
      <c r="B3" s="3" t="s">
        <v>2</v>
      </c>
    </row>
    <row r="4" customFormat="false" ht="18" hidden="false" customHeight="true" outlineLevel="0" collapsed="false">
      <c r="A4" s="2" t="s">
        <v>3</v>
      </c>
      <c r="B4" s="3" t="s">
        <v>4</v>
      </c>
    </row>
    <row r="5" customFormat="false" ht="18" hidden="false" customHeight="true" outlineLevel="0" collapsed="false">
      <c r="A5" s="2" t="s">
        <v>5</v>
      </c>
      <c r="B5" s="3" t="s">
        <v>6</v>
      </c>
    </row>
    <row r="6" customFormat="false" ht="18" hidden="false" customHeight="true" outlineLevel="0" collapsed="false">
      <c r="A6" s="2" t="s">
        <v>7</v>
      </c>
      <c r="B6" s="3" t="s">
        <v>8</v>
      </c>
    </row>
    <row r="7" customFormat="false" ht="18" hidden="false" customHeight="true" outlineLevel="0" collapsed="false">
      <c r="A7" s="2" t="s">
        <v>9</v>
      </c>
      <c r="B7" s="3" t="s">
        <v>10</v>
      </c>
    </row>
    <row r="8" customFormat="false" ht="18" hidden="false" customHeight="true" outlineLevel="0" collapsed="false">
      <c r="A8" s="2" t="s">
        <v>11</v>
      </c>
      <c r="B8" s="3" t="s">
        <v>12</v>
      </c>
    </row>
    <row r="9" customFormat="false" ht="69.75" hidden="false" customHeight="true" outlineLevel="0" collapsed="false">
      <c r="A9" s="2" t="s">
        <v>13</v>
      </c>
      <c r="B9" s="3" t="s">
        <v>14</v>
      </c>
    </row>
    <row r="10" customFormat="false" ht="18" hidden="false" customHeight="true" outlineLevel="0" collapsed="false">
      <c r="A10" s="2" t="s">
        <v>15</v>
      </c>
      <c r="B10" s="3" t="s">
        <v>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55"/>
  </cols>
  <sheetData>
    <row r="1" customFormat="false" ht="26.8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</row>
    <row r="2" customFormat="false" ht="45" hidden="false" customHeight="true" outlineLevel="0" collapsed="false">
      <c r="A2" s="3" t="s">
        <v>22</v>
      </c>
      <c r="B2" s="5" t="s">
        <v>23</v>
      </c>
      <c r="C2" s="5" t="s">
        <v>23</v>
      </c>
      <c r="D2" s="5" t="s">
        <v>24</v>
      </c>
      <c r="E2" s="3" t="s">
        <v>25</v>
      </c>
    </row>
    <row r="3" customFormat="false" ht="45" hidden="false" customHeight="true" outlineLevel="0" collapsed="false">
      <c r="A3" s="3" t="s">
        <v>26</v>
      </c>
      <c r="B3" s="5" t="s">
        <v>24</v>
      </c>
      <c r="C3" s="5" t="s">
        <v>24</v>
      </c>
      <c r="D3" s="5" t="s">
        <v>24</v>
      </c>
      <c r="E3" s="3" t="s">
        <v>27</v>
      </c>
    </row>
    <row r="4" customFormat="false" ht="45" hidden="false" customHeight="true" outlineLevel="0" collapsed="false">
      <c r="A4" s="3" t="s">
        <v>28</v>
      </c>
      <c r="B4" s="5" t="s">
        <v>23</v>
      </c>
      <c r="C4" s="5" t="s">
        <v>24</v>
      </c>
      <c r="D4" s="5" t="s">
        <v>29</v>
      </c>
      <c r="E4" s="3" t="s">
        <v>30</v>
      </c>
    </row>
    <row r="5" customFormat="false" ht="45" hidden="false" customHeight="true" outlineLevel="0" collapsed="false">
      <c r="A5" s="3" t="s">
        <v>31</v>
      </c>
      <c r="B5" s="5" t="s">
        <v>23</v>
      </c>
      <c r="C5" s="5" t="s">
        <v>23</v>
      </c>
      <c r="D5" s="5" t="s">
        <v>23</v>
      </c>
      <c r="E5" s="3" t="s">
        <v>32</v>
      </c>
    </row>
    <row r="6" customFormat="false" ht="45" hidden="false" customHeight="true" outlineLevel="0" collapsed="false">
      <c r="A6" s="3" t="s">
        <v>33</v>
      </c>
      <c r="B6" s="5" t="s">
        <v>24</v>
      </c>
      <c r="C6" s="5" t="s">
        <v>23</v>
      </c>
      <c r="D6" s="5" t="s">
        <v>23</v>
      </c>
      <c r="E6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30"/>
  </cols>
  <sheetData>
    <row r="1" customFormat="false" ht="26.85" hidden="false" customHeight="false" outlineLevel="0" collapsed="false">
      <c r="A1" s="4" t="s">
        <v>35</v>
      </c>
      <c r="B1" s="4" t="s">
        <v>36</v>
      </c>
      <c r="C1" s="4" t="s">
        <v>37</v>
      </c>
    </row>
    <row r="2" customFormat="false" ht="30" hidden="false" customHeight="true" outlineLevel="0" collapsed="false">
      <c r="A2" s="3" t="s">
        <v>38</v>
      </c>
      <c r="B2" s="3" t="s">
        <v>39</v>
      </c>
      <c r="C2" s="3" t="s">
        <v>40</v>
      </c>
    </row>
    <row r="3" customFormat="false" ht="30" hidden="false" customHeight="true" outlineLevel="0" collapsed="false">
      <c r="A3" s="3" t="s">
        <v>41</v>
      </c>
      <c r="B3" s="3" t="s">
        <v>42</v>
      </c>
      <c r="C3" s="3" t="s">
        <v>22</v>
      </c>
    </row>
    <row r="4" customFormat="false" ht="30" hidden="false" customHeight="true" outlineLevel="0" collapsed="false">
      <c r="A4" s="3" t="s">
        <v>43</v>
      </c>
      <c r="B4" s="3" t="s">
        <v>44</v>
      </c>
      <c r="C4" s="3" t="s">
        <v>45</v>
      </c>
    </row>
    <row r="5" customFormat="false" ht="30" hidden="false" customHeight="true" outlineLevel="0" collapsed="false">
      <c r="A5" s="3" t="s">
        <v>46</v>
      </c>
      <c r="B5" s="3" t="s">
        <v>47</v>
      </c>
      <c r="C5" s="3" t="s">
        <v>48</v>
      </c>
    </row>
    <row r="6" customFormat="false" ht="30" hidden="false" customHeight="true" outlineLevel="0" collapsed="false">
      <c r="A6" s="3" t="s">
        <v>49</v>
      </c>
      <c r="B6" s="3" t="s">
        <v>50</v>
      </c>
      <c r="C6" s="3" t="s">
        <v>51</v>
      </c>
    </row>
    <row r="7" customFormat="false" ht="30" hidden="false" customHeight="true" outlineLevel="0" collapsed="false">
      <c r="A7" s="3" t="s">
        <v>52</v>
      </c>
      <c r="B7" s="3" t="s">
        <v>53</v>
      </c>
      <c r="C7" s="3" t="s">
        <v>31</v>
      </c>
    </row>
    <row r="8" customFormat="false" ht="30" hidden="false" customHeight="true" outlineLevel="0" collapsed="false">
      <c r="A8" s="3" t="s">
        <v>54</v>
      </c>
      <c r="B8" s="3" t="s">
        <v>55</v>
      </c>
      <c r="C8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4" t="s">
        <v>56</v>
      </c>
      <c r="B1" s="4" t="s">
        <v>57</v>
      </c>
      <c r="C1" s="4" t="s">
        <v>17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21</v>
      </c>
      <c r="L1" s="4" t="s">
        <v>65</v>
      </c>
    </row>
    <row r="2" customFormat="false" ht="42" hidden="false" customHeight="true" outlineLevel="0" collapsed="false">
      <c r="A2" s="5" t="s">
        <v>66</v>
      </c>
      <c r="B2" s="3" t="s">
        <v>67</v>
      </c>
      <c r="C2" s="3" t="s">
        <v>22</v>
      </c>
      <c r="D2" s="5" t="s">
        <v>23</v>
      </c>
      <c r="E2" s="5" t="s">
        <v>23</v>
      </c>
      <c r="F2" s="5" t="n">
        <f aca="false">IF(D2="High",3,IF(D2="Medium",2,IF(D2="Low",1,"")))</f>
        <v>3</v>
      </c>
      <c r="G2" s="5" t="n">
        <f aca="false">IF(E2="High",3,IF(E2="Medium",2,IF(E2="Low",1,"")))</f>
        <v>3</v>
      </c>
      <c r="H2" s="5" t="n">
        <f aca="false">F2*G2</f>
        <v>9</v>
      </c>
      <c r="I2" s="5" t="str">
        <f aca="false">IF(H2&gt;=6,"High",IF(H2&gt;=3,"Medium",IF(H2&gt;=1,"Low","")))</f>
        <v>High</v>
      </c>
      <c r="J2" s="3" t="s">
        <v>68</v>
      </c>
      <c r="K2" s="3" t="s">
        <v>69</v>
      </c>
      <c r="L2" s="5" t="s">
        <v>70</v>
      </c>
    </row>
    <row r="3" customFormat="false" ht="42" hidden="false" customHeight="true" outlineLevel="0" collapsed="false">
      <c r="A3" s="5" t="s">
        <v>71</v>
      </c>
      <c r="B3" s="3" t="s">
        <v>72</v>
      </c>
      <c r="C3" s="3" t="s">
        <v>28</v>
      </c>
      <c r="D3" s="5" t="s">
        <v>73</v>
      </c>
      <c r="E3" s="5" t="s">
        <v>23</v>
      </c>
      <c r="F3" s="5" t="n">
        <f aca="false">IF(D3="High",3,IF(D3="Medium",2,IF(D3="Low",1,"")))</f>
        <v>2</v>
      </c>
      <c r="G3" s="5" t="n">
        <f aca="false">IF(E3="High",3,IF(E3="Medium",2,IF(E3="Low",1,"")))</f>
        <v>3</v>
      </c>
      <c r="H3" s="5" t="n">
        <f aca="false">F3*G3</f>
        <v>6</v>
      </c>
      <c r="I3" s="5" t="str">
        <f aca="false">IF(H3&gt;=6,"High",IF(H3&gt;=3,"Medium",IF(H3&gt;=1,"Low","")))</f>
        <v>High</v>
      </c>
      <c r="J3" s="3" t="s">
        <v>68</v>
      </c>
      <c r="K3" s="3" t="s">
        <v>74</v>
      </c>
      <c r="L3" s="5" t="s">
        <v>70</v>
      </c>
    </row>
    <row r="4" customFormat="false" ht="42" hidden="false" customHeight="true" outlineLevel="0" collapsed="false">
      <c r="A4" s="5" t="s">
        <v>75</v>
      </c>
      <c r="B4" s="3" t="s">
        <v>76</v>
      </c>
      <c r="C4" s="3" t="s">
        <v>45</v>
      </c>
      <c r="D4" s="5" t="s">
        <v>23</v>
      </c>
      <c r="E4" s="5" t="s">
        <v>73</v>
      </c>
      <c r="F4" s="5" t="n">
        <f aca="false">IF(D4="High",3,IF(D4="Medium",2,IF(D4="Low",1,"")))</f>
        <v>3</v>
      </c>
      <c r="G4" s="5" t="n">
        <f aca="false">IF(E4="High",3,IF(E4="Medium",2,IF(E4="Low",1,"")))</f>
        <v>2</v>
      </c>
      <c r="H4" s="5" t="n">
        <f aca="false">F4*G4</f>
        <v>6</v>
      </c>
      <c r="I4" s="5" t="str">
        <f aca="false">IF(H4&gt;=6,"High",IF(H4&gt;=3,"Medium",IF(H4&gt;=1,"Low","")))</f>
        <v>High</v>
      </c>
      <c r="J4" s="3" t="s">
        <v>68</v>
      </c>
      <c r="K4" s="3" t="s">
        <v>77</v>
      </c>
      <c r="L4" s="5" t="s">
        <v>70</v>
      </c>
    </row>
    <row r="5" customFormat="false" ht="42" hidden="false" customHeight="true" outlineLevel="0" collapsed="false">
      <c r="A5" s="5" t="s">
        <v>78</v>
      </c>
      <c r="B5" s="3" t="s">
        <v>79</v>
      </c>
      <c r="C5" s="3" t="s">
        <v>31</v>
      </c>
      <c r="D5" s="5" t="s">
        <v>73</v>
      </c>
      <c r="E5" s="5" t="s">
        <v>23</v>
      </c>
      <c r="F5" s="5" t="n">
        <f aca="false">IF(D5="High",3,IF(D5="Medium",2,IF(D5="Low",1,"")))</f>
        <v>2</v>
      </c>
      <c r="G5" s="5" t="n">
        <f aca="false">IF(E5="High",3,IF(E5="Medium",2,IF(E5="Low",1,"")))</f>
        <v>3</v>
      </c>
      <c r="H5" s="5" t="n">
        <f aca="false">F5*G5</f>
        <v>6</v>
      </c>
      <c r="I5" s="5" t="str">
        <f aca="false">IF(H5&gt;=6,"High",IF(H5&gt;=3,"Medium",IF(H5&gt;=1,"Low","")))</f>
        <v>High</v>
      </c>
      <c r="J5" s="3" t="s">
        <v>68</v>
      </c>
      <c r="K5" s="3" t="s">
        <v>80</v>
      </c>
      <c r="L5" s="5" t="s">
        <v>70</v>
      </c>
    </row>
    <row r="6" customFormat="false" ht="42" hidden="false" customHeight="true" outlineLevel="0" collapsed="false">
      <c r="A6" s="5" t="s">
        <v>81</v>
      </c>
      <c r="B6" s="3" t="s">
        <v>82</v>
      </c>
      <c r="C6" s="3" t="s">
        <v>83</v>
      </c>
      <c r="D6" s="5" t="s">
        <v>73</v>
      </c>
      <c r="E6" s="5" t="s">
        <v>23</v>
      </c>
      <c r="F6" s="5" t="n">
        <f aca="false">IF(D6="High",3,IF(D6="Medium",2,IF(D6="Low",1,"")))</f>
        <v>2</v>
      </c>
      <c r="G6" s="5" t="n">
        <f aca="false">IF(E6="High",3,IF(E6="Medium",2,IF(E6="Low",1,"")))</f>
        <v>3</v>
      </c>
      <c r="H6" s="5" t="n">
        <f aca="false">F6*G6</f>
        <v>6</v>
      </c>
      <c r="I6" s="5" t="str">
        <f aca="false">IF(H6&gt;=6,"High",IF(H6&gt;=3,"Medium",IF(H6&gt;=1,"Low","")))</f>
        <v>High</v>
      </c>
      <c r="J6" s="3" t="s">
        <v>68</v>
      </c>
      <c r="K6" s="3" t="s">
        <v>84</v>
      </c>
      <c r="L6" s="5" t="s">
        <v>70</v>
      </c>
    </row>
    <row r="7" customFormat="false" ht="42" hidden="false" customHeight="true" outlineLevel="0" collapsed="false">
      <c r="A7" s="5" t="s">
        <v>85</v>
      </c>
      <c r="B7" s="3" t="s">
        <v>86</v>
      </c>
      <c r="C7" s="3" t="s">
        <v>26</v>
      </c>
      <c r="D7" s="5" t="s">
        <v>23</v>
      </c>
      <c r="E7" s="5" t="s">
        <v>73</v>
      </c>
      <c r="F7" s="5" t="n">
        <f aca="false">IF(D7="High",3,IF(D7="Medium",2,IF(D7="Low",1,"")))</f>
        <v>3</v>
      </c>
      <c r="G7" s="5" t="n">
        <f aca="false">IF(E7="High",3,IF(E7="Medium",2,IF(E7="Low",1,"")))</f>
        <v>2</v>
      </c>
      <c r="H7" s="5" t="n">
        <f aca="false">F7*G7</f>
        <v>6</v>
      </c>
      <c r="I7" s="5" t="str">
        <f aca="false">IF(H7&gt;=6,"High",IF(H7&gt;=3,"Medium",IF(H7&gt;=1,"Low","")))</f>
        <v>High</v>
      </c>
      <c r="J7" s="3" t="s">
        <v>68</v>
      </c>
      <c r="K7" s="3" t="s">
        <v>87</v>
      </c>
      <c r="L7" s="5" t="s">
        <v>70</v>
      </c>
    </row>
    <row r="8" customFormat="false" ht="42" hidden="false" customHeight="true" outlineLevel="0" collapsed="false">
      <c r="A8" s="5" t="s">
        <v>88</v>
      </c>
      <c r="B8" s="3" t="s">
        <v>89</v>
      </c>
      <c r="C8" s="3" t="s">
        <v>33</v>
      </c>
      <c r="D8" s="5" t="s">
        <v>73</v>
      </c>
      <c r="E8" s="5" t="s">
        <v>73</v>
      </c>
      <c r="F8" s="5" t="n">
        <f aca="false">IF(D8="High",3,IF(D8="Medium",2,IF(D8="Low",1,"")))</f>
        <v>2</v>
      </c>
      <c r="G8" s="5" t="n">
        <f aca="false">IF(E8="High",3,IF(E8="Medium",2,IF(E8="Low",1,"")))</f>
        <v>2</v>
      </c>
      <c r="H8" s="5" t="n">
        <f aca="false">F8*G8</f>
        <v>4</v>
      </c>
      <c r="I8" s="5" t="str">
        <f aca="false">IF(H8&gt;=6,"High",IF(H8&gt;=3,"Medium",IF(H8&gt;=1,"Low","")))</f>
        <v>Medium</v>
      </c>
      <c r="J8" s="3" t="s">
        <v>68</v>
      </c>
      <c r="K8" s="3" t="s">
        <v>90</v>
      </c>
      <c r="L8" s="5" t="s">
        <v>70</v>
      </c>
    </row>
    <row r="10" customFormat="false" ht="15" hidden="false" customHeight="false" outlineLevel="0" collapsed="false">
      <c r="A10" s="6" t="s">
        <v>91</v>
      </c>
    </row>
    <row r="11" customFormat="false" ht="15" hidden="false" customHeight="false" outlineLevel="0" collapsed="false">
      <c r="A11" s="6" t="s">
        <v>92</v>
      </c>
    </row>
  </sheetData>
  <conditionalFormatting sqref="I2:I8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3">
    <dataValidation allowBlank="false" errorStyle="stop" operator="between" showDropDown="false" showErrorMessage="false" showInputMessage="false" sqref="D2:E8" type="list">
      <formula1>"Low,Medium,High"</formula1>
      <formula2>0</formula2>
    </dataValidation>
    <dataValidation allowBlank="false" errorStyle="stop" operator="between" showDropDown="false" showErrorMessage="false" showInputMessage="false" sqref="J2:J8" type="list">
      <formula1>"Accept,Mitigate,Transfer,Avoid"</formula1>
      <formula2>0</formula2>
    </dataValidation>
    <dataValidation allowBlank="false" errorStyle="stop" operator="between" showDropDown="false" showErrorMessage="false" showInputMessage="false" sqref="L2:L8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93</v>
      </c>
      <c r="B1" s="1"/>
    </row>
    <row r="3" customFormat="false" ht="31.5" hidden="false" customHeight="true" outlineLevel="0" collapsed="false">
      <c r="A3" s="2" t="s">
        <v>94</v>
      </c>
      <c r="B3" s="3" t="s">
        <v>95</v>
      </c>
    </row>
    <row r="4" customFormat="false" ht="31.5" hidden="false" customHeight="true" outlineLevel="0" collapsed="false">
      <c r="A4" s="2" t="s">
        <v>96</v>
      </c>
      <c r="B4" s="3" t="s">
        <v>97</v>
      </c>
    </row>
    <row r="5" customFormat="false" ht="31.5" hidden="false" customHeight="true" outlineLevel="0" collapsed="false">
      <c r="A5" s="2" t="s">
        <v>98</v>
      </c>
      <c r="B5" s="3" t="s">
        <v>99</v>
      </c>
    </row>
    <row r="6" customFormat="false" ht="31.5" hidden="false" customHeight="true" outlineLevel="0" collapsed="false">
      <c r="A6" s="2" t="s">
        <v>100</v>
      </c>
      <c r="B6" s="3" t="s">
        <v>101</v>
      </c>
    </row>
    <row r="7" customFormat="false" ht="31.5" hidden="false" customHeight="true" outlineLevel="0" collapsed="false">
      <c r="A7" s="2" t="s">
        <v>102</v>
      </c>
      <c r="B7" s="3" t="s">
        <v>103</v>
      </c>
    </row>
    <row r="8" customFormat="false" ht="31.5" hidden="false" customHeight="true" outlineLevel="0" collapsed="false">
      <c r="A8" s="2" t="s">
        <v>104</v>
      </c>
      <c r="B8" s="3" t="s">
        <v>105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2026-08-26T17:21:20Z</dcterms:created>
  <dc:creator>openpyxl</dc:creator>
  <dc:description/>
  <dc:language>en-US</dc:language>
  <cp:lastModifiedBy/>
  <dcterms:modified xsi:type="dcterms:W3CDTF">2026-08-26T17:21:20Z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